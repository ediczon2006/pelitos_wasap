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 Diario Comercial" sheetId="1" state="visible" r:id="rId1"/>
    <sheet name="Resumen Ejecutivo 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S/ #,##0.00"/>
    <numFmt numFmtId="165" formatCode="0.0&quot;%&quot;"/>
  </numFmts>
  <fonts count="4">
    <font>
      <name val="Calibri"/>
      <family val="2"/>
      <color theme="1"/>
      <sz val="11"/>
      <scheme val="minor"/>
    </font>
    <font>
      <name val="Calibri"/>
      <b val="1"/>
      <color rgb="004A154B"/>
      <sz val="14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4A154B"/>
        <bgColor rgb="004A154B"/>
      </patternFill>
    </fill>
    <fill>
      <patternFill patternType="solid">
        <fgColor rgb="00F8F4F9"/>
        <bgColor rgb="00F8F4F9"/>
      </patternFill>
    </fill>
    <fill>
      <patternFill patternType="solid">
        <fgColor rgb="006B2D82"/>
        <bgColor rgb="006B2D82"/>
      </patternFill>
    </fill>
  </fills>
  <borders count="2">
    <border>
      <left/>
      <right/>
      <top/>
      <bottom/>
      <diagonal/>
    </border>
    <border>
      <left style="thin">
        <color rgb="00D1C4D9"/>
      </left>
      <right style="thin">
        <color rgb="00D1C4D9"/>
      </right>
      <top style="thin">
        <color rgb="00D1C4D9"/>
      </top>
      <bottom style="thin">
        <color rgb="00D1C4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89" customWidth="1" min="1" max="1"/>
    <col width="28" customWidth="1" min="2" max="2"/>
    <col width="19" customWidth="1" min="3" max="3"/>
    <col width="24" customWidth="1" min="4" max="4"/>
    <col width="29" customWidth="1" min="5" max="5"/>
    <col width="22" customWidth="1" min="6" max="6"/>
    <col width="26" customWidth="1" min="7" max="7"/>
    <col width="23" customWidth="1" min="8" max="8"/>
    <col width="30" customWidth="1" min="9" max="9"/>
    <col width="31" customWidth="1" min="10" max="10"/>
    <col width="53" customWidth="1" min="11" max="11"/>
  </cols>
  <sheetData>
    <row r="1">
      <c r="A1" s="1" t="inlineStr">
        <is>
          <t>PELITOS VETERINARIA — TABLERO DE SEGUIMIENTO Y REGISTRO DIARIO DE VENTAS WHATSAPP 2026</t>
        </is>
      </c>
    </row>
    <row r="2"/>
    <row r="3" ht="28" customHeight="1">
      <c r="A3" s="2" t="inlineStr">
        <is>
          <t>Fecha</t>
        </is>
      </c>
      <c r="B3" s="2" t="inlineStr">
        <is>
          <t>Canal de WhatsApp</t>
        </is>
      </c>
      <c r="C3" s="2" t="inlineStr">
        <is>
          <t>Consultas Nuevas</t>
        </is>
      </c>
      <c r="D3" s="2" t="inlineStr">
        <is>
          <t>Cotizaciones Enviadas</t>
        </is>
      </c>
      <c r="E3" s="2" t="inlineStr">
        <is>
          <t>Citas/Reservas Concretadas</t>
        </is>
      </c>
      <c r="F3" s="2" t="inlineStr">
        <is>
          <t>Pedidos Confirmados</t>
        </is>
      </c>
      <c r="G3" s="2" t="inlineStr">
        <is>
          <t>Ventas Concretadas (S/)</t>
        </is>
      </c>
      <c r="H3" s="2" t="inlineStr">
        <is>
          <t>Ticket Promedio (S/)</t>
        </is>
      </c>
      <c r="I3" s="2" t="inlineStr">
        <is>
          <t>% Conv. Consultas a Reserva</t>
        </is>
      </c>
      <c r="J3" s="2" t="inlineStr">
        <is>
          <t>Tiempo Prom. 1ra Resp. (min)</t>
        </is>
      </c>
      <c r="K3" s="2" t="inlineStr">
        <is>
          <t>Observaciones / Derivaciones</t>
        </is>
      </c>
    </row>
    <row r="4" ht="22" customHeight="1">
      <c r="A4" s="3" t="inlineStr">
        <is>
          <t>21/10/2026</t>
        </is>
      </c>
      <c r="B4" s="3" t="inlineStr">
        <is>
          <t>Recepción (927 301 122)</t>
        </is>
      </c>
      <c r="C4" s="3" t="n">
        <v>12</v>
      </c>
      <c r="D4" s="3" t="n">
        <v>8</v>
      </c>
      <c r="E4" s="3" t="n">
        <v>3</v>
      </c>
      <c r="F4" s="3" t="n">
        <v>4</v>
      </c>
      <c r="G4" s="4" t="n">
        <v>380</v>
      </c>
      <c r="H4" s="4">
        <f>G4/(E4+F4)</f>
        <v/>
      </c>
      <c r="I4" s="5">
        <f>(E4/C4)*100</f>
        <v/>
      </c>
      <c r="J4" s="3" t="n">
        <v>6</v>
      </c>
      <c r="K4" s="6" t="inlineStr">
        <is>
          <t>3 clientes derivados a Consultorio y 2 a Estética.</t>
        </is>
      </c>
    </row>
    <row r="5" ht="22" customHeight="1">
      <c r="A5" s="7" t="inlineStr">
        <is>
          <t>21/10/2026</t>
        </is>
      </c>
      <c r="B5" s="7" t="inlineStr">
        <is>
          <t>Consultorio (939 356 376)</t>
        </is>
      </c>
      <c r="C5" s="7" t="n">
        <v>9</v>
      </c>
      <c r="D5" s="7" t="n">
        <v>6</v>
      </c>
      <c r="E5" s="7" t="n">
        <v>5</v>
      </c>
      <c r="F5" s="7" t="n">
        <v>1</v>
      </c>
      <c r="G5" s="8" t="n">
        <v>290</v>
      </c>
      <c r="H5" s="8">
        <f>G5/(E5+F5)</f>
        <v/>
      </c>
      <c r="I5" s="9">
        <f>(E5/C5)*100</f>
        <v/>
      </c>
      <c r="J5" s="7" t="n">
        <v>8</v>
      </c>
      <c r="K5" s="10" t="inlineStr">
        <is>
          <t>2 vacunas y 3 consultas confirmadas en VetPraxis.</t>
        </is>
      </c>
    </row>
    <row r="6" ht="22" customHeight="1">
      <c r="A6" s="3" t="inlineStr">
        <is>
          <t>21/10/2026</t>
        </is>
      </c>
      <c r="B6" s="3" t="inlineStr">
        <is>
          <t>Estética (948 426 656)</t>
        </is>
      </c>
      <c r="C6" s="3" t="n">
        <v>11</v>
      </c>
      <c r="D6" s="3" t="n">
        <v>9</v>
      </c>
      <c r="E6" s="3" t="n">
        <v>6</v>
      </c>
      <c r="F6" s="3" t="n">
        <v>0</v>
      </c>
      <c r="G6" s="4" t="n">
        <v>320</v>
      </c>
      <c r="H6" s="4">
        <f>G6/(E6+F6)</f>
        <v/>
      </c>
      <c r="I6" s="5">
        <f>(E6/C6)*100</f>
        <v/>
      </c>
      <c r="J6" s="3" t="n">
        <v>5</v>
      </c>
      <c r="K6" s="6" t="inlineStr">
        <is>
          <t>4 Spa Pelitos y 2 Ducha Express agendadas.</t>
        </is>
      </c>
    </row>
    <row r="7" ht="22" customHeight="1">
      <c r="A7" s="7" t="inlineStr">
        <is>
          <t>22/10/2026</t>
        </is>
      </c>
      <c r="B7" s="7" t="inlineStr">
        <is>
          <t>Recepción (927 301 122)</t>
        </is>
      </c>
      <c r="C7" s="7" t="n">
        <v>14</v>
      </c>
      <c r="D7" s="7" t="n">
        <v>10</v>
      </c>
      <c r="E7" s="7" t="n">
        <v>4</v>
      </c>
      <c r="F7" s="7" t="n">
        <v>5</v>
      </c>
      <c r="G7" s="8" t="n">
        <v>450</v>
      </c>
      <c r="H7" s="8">
        <f>G7/(E7+F7)</f>
        <v/>
      </c>
      <c r="I7" s="9">
        <f>(E7/C7)*100</f>
        <v/>
      </c>
      <c r="J7" s="7" t="n">
        <v>5</v>
      </c>
      <c r="K7" s="10" t="inlineStr">
        <is>
          <t>Venta de 2 NexGard y 1 Hill's Pet Shop.</t>
        </is>
      </c>
    </row>
    <row r="8" ht="22" customHeight="1">
      <c r="A8" s="3" t="inlineStr">
        <is>
          <t>22/10/2026</t>
        </is>
      </c>
      <c r="B8" s="3" t="inlineStr">
        <is>
          <t>Consultorio (939 356 376)</t>
        </is>
      </c>
      <c r="C8" s="3" t="n">
        <v>8</v>
      </c>
      <c r="D8" s="3" t="n">
        <v>7</v>
      </c>
      <c r="E8" s="3" t="n">
        <v>6</v>
      </c>
      <c r="F8" s="3" t="n">
        <v>0</v>
      </c>
      <c r="G8" s="4" t="n">
        <v>310</v>
      </c>
      <c r="H8" s="4">
        <f>G8/(E8+F8)</f>
        <v/>
      </c>
      <c r="I8" s="5">
        <f>(E8/C8)*100</f>
        <v/>
      </c>
      <c r="J8" s="3" t="n">
        <v>7</v>
      </c>
      <c r="K8" s="6" t="inlineStr">
        <is>
          <t>1 profilaxis programada y 5 consultas.</t>
        </is>
      </c>
    </row>
    <row r="9" ht="22" customHeight="1">
      <c r="A9" s="7" t="inlineStr">
        <is>
          <t>22/10/2026</t>
        </is>
      </c>
      <c r="B9" s="7" t="inlineStr">
        <is>
          <t>Estética (948 426 656)</t>
        </is>
      </c>
      <c r="C9" s="7" t="n">
        <v>10</v>
      </c>
      <c r="D9" s="7" t="n">
        <v>8</v>
      </c>
      <c r="E9" s="7" t="n">
        <v>5</v>
      </c>
      <c r="F9" s="7" t="n">
        <v>0</v>
      </c>
      <c r="G9" s="8" t="n">
        <v>295</v>
      </c>
      <c r="H9" s="8">
        <f>G9/(E9+F9)</f>
        <v/>
      </c>
      <c r="I9" s="9">
        <f>(E9/C9)*100</f>
        <v/>
      </c>
      <c r="J9" s="7" t="n">
        <v>4</v>
      </c>
      <c r="K9" s="10" t="inlineStr">
        <is>
          <t>Alta demanda de Momento Real (corte de raza).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3" customWidth="1" min="2" max="2"/>
    <col width="28" customWidth="1" min="3" max="3"/>
    <col width="30" customWidth="1" min="4" max="4"/>
    <col width="27" customWidth="1" min="5" max="5"/>
  </cols>
  <sheetData>
    <row r="1">
      <c r="A1" s="1" t="inlineStr">
        <is>
          <t>RESUMEN EJECUTIVO DE INDICADORES DE CONVERSIÓN Y PRODUCTIVIDAD</t>
        </is>
      </c>
    </row>
    <row r="2"/>
    <row r="3" ht="26" customHeight="1">
      <c r="A3" s="11" t="inlineStr">
        <is>
          <t>Indicador Clave (KPI)</t>
        </is>
      </c>
      <c r="B3" s="11" t="inlineStr">
        <is>
          <t>Fórmula de Medición</t>
        </is>
      </c>
      <c r="C3" s="11" t="inlineStr">
        <is>
          <t>Meta Inicial Mes 1</t>
        </is>
      </c>
      <c r="D3" s="11" t="inlineStr">
        <is>
          <t>Resultado Actual</t>
        </is>
      </c>
      <c r="E3" s="11" t="inlineStr">
        <is>
          <t>Estado</t>
        </is>
      </c>
    </row>
    <row r="4" ht="22" customHeight="1">
      <c r="A4" s="6" t="inlineStr">
        <is>
          <t>Cuentas Institucionales Configuradas</t>
        </is>
      </c>
      <c r="B4" s="6" t="inlineStr">
        <is>
          <t>Total cuentas activas con perfil y herramientas / 3</t>
        </is>
      </c>
      <c r="C4" s="3" t="inlineStr">
        <is>
          <t>3 de 3 (100%)</t>
        </is>
      </c>
      <c r="D4" s="3" t="inlineStr">
        <is>
          <t>3 de 3</t>
        </is>
      </c>
      <c r="E4" s="3" t="inlineStr">
        <is>
          <t>Cumplido</t>
        </is>
      </c>
    </row>
    <row r="5" ht="22" customHeight="1">
      <c r="A5" s="10" t="inlineStr">
        <is>
          <t>Líneas de Catálogo Organizadas</t>
        </is>
      </c>
      <c r="B5" s="10" t="inlineStr">
        <is>
          <t>Total líneas comerciales implementadas / 4</t>
        </is>
      </c>
      <c r="C5" s="7" t="inlineStr">
        <is>
          <t>4 de 4 (100%)</t>
        </is>
      </c>
      <c r="D5" s="7" t="inlineStr">
        <is>
          <t>4 de 4</t>
        </is>
      </c>
      <c r="E5" s="7" t="inlineStr">
        <is>
          <t>Cumplido</t>
        </is>
      </c>
    </row>
    <row r="6" ht="22" customHeight="1">
      <c r="A6" s="6" t="inlineStr">
        <is>
          <t>Fichas Publicadas con Aprobación</t>
        </is>
      </c>
      <c r="B6" s="6" t="inlineStr">
        <is>
          <t>Fichas aprobadas por Gerencia / Fichas totales</t>
        </is>
      </c>
      <c r="C6" s="3" t="inlineStr">
        <is>
          <t>100%</t>
        </is>
      </c>
      <c r="D6" s="3" t="inlineStr">
        <is>
          <t>100%</t>
        </is>
      </c>
      <c r="E6" s="3" t="inlineStr">
        <is>
          <t>En proceso de validación</t>
        </is>
      </c>
    </row>
    <row r="7" ht="22" customHeight="1">
      <c r="A7" s="10" t="inlineStr">
        <is>
          <t>Tasa de Conversión a Reserva (Citas)</t>
        </is>
      </c>
      <c r="B7" s="10" t="inlineStr">
        <is>
          <t>(Reservas concretadas / Consultas elegibles) × 100</t>
        </is>
      </c>
      <c r="C7" s="7" t="inlineStr">
        <is>
          <t>&gt;= 45%</t>
        </is>
      </c>
      <c r="D7" s="7" t="inlineStr">
        <is>
          <t>48.4%</t>
        </is>
      </c>
      <c r="E7" s="7" t="inlineStr">
        <is>
          <t>Óptimo</t>
        </is>
      </c>
    </row>
    <row r="8" ht="22" customHeight="1">
      <c r="A8" s="6" t="inlineStr">
        <is>
          <t>Tasa de Conversión a Venta (Farmacia/PetShop)</t>
        </is>
      </c>
      <c r="B8" s="6" t="inlineStr">
        <is>
          <t>(Pedidos confirmados / Consultas comerciales) × 100</t>
        </is>
      </c>
      <c r="C8" s="3" t="inlineStr">
        <is>
          <t>&gt;= 30%</t>
        </is>
      </c>
      <c r="D8" s="3" t="inlineStr">
        <is>
          <t>34.6%</t>
        </is>
      </c>
      <c r="E8" s="3" t="inlineStr">
        <is>
          <t>Óptimo</t>
        </is>
      </c>
    </row>
    <row r="9" ht="22" customHeight="1">
      <c r="A9" s="10" t="inlineStr">
        <is>
          <t>Ventas Originadas por WhatsApp</t>
        </is>
      </c>
      <c r="B9" s="10" t="inlineStr">
        <is>
          <t>Suma total de ingresos (S/) atribuidos a canales WA</t>
        </is>
      </c>
      <c r="C9" s="7" t="inlineStr">
        <is>
          <t>Línea base S/ 8,000 / mes</t>
        </is>
      </c>
      <c r="D9" s="7" t="inlineStr">
        <is>
          <t>S/ 2,045.00 (primeros días)</t>
        </is>
      </c>
      <c r="E9" s="7" t="inlineStr">
        <is>
          <t>En seguimiento</t>
        </is>
      </c>
    </row>
    <row r="10" ht="22" customHeight="1">
      <c r="A10" s="6" t="inlineStr">
        <is>
          <t>Ticket Promedio de Venta WhatsApp</t>
        </is>
      </c>
      <c r="B10" s="6" t="inlineStr">
        <is>
          <t>Total ingresos WhatsApp / Total de ventas cerradas</t>
        </is>
      </c>
      <c r="C10" s="3" t="inlineStr">
        <is>
          <t>S/ 55.00</t>
        </is>
      </c>
      <c r="D10" s="3" t="inlineStr">
        <is>
          <t>S/ 58.40</t>
        </is>
      </c>
      <c r="E10" s="3" t="inlineStr">
        <is>
          <t>Óptimo</t>
        </is>
      </c>
    </row>
    <row r="11" ht="22" customHeight="1">
      <c r="A11" s="10" t="inlineStr">
        <is>
          <t>Tiempo Promedio de Primera Respuesta</t>
        </is>
      </c>
      <c r="B11" s="10" t="inlineStr">
        <is>
          <t>Minutos transcurridos entre consulta del cliente y respuesta</t>
        </is>
      </c>
      <c r="C11" s="7" t="inlineStr">
        <is>
          <t>&lt;= 8 minutos</t>
        </is>
      </c>
      <c r="D11" s="7" t="inlineStr">
        <is>
          <t>5.8 minutos</t>
        </is>
      </c>
      <c r="E11" s="7" t="inlineStr">
        <is>
          <t>Excelente</t>
        </is>
      </c>
    </row>
    <row r="12" ht="22" customHeight="1">
      <c r="A12" s="6" t="inlineStr">
        <is>
          <t>Tasa de Clientes Recurrentes</t>
        </is>
      </c>
      <c r="B12" s="6" t="inlineStr">
        <is>
          <t>(Clientes recurrentes atendidos / Total atendidos) × 100</t>
        </is>
      </c>
      <c r="C12" s="3" t="inlineStr">
        <is>
          <t>&gt;= 25%</t>
        </is>
      </c>
      <c r="D12" s="3" t="inlineStr">
        <is>
          <t>28.0%</t>
        </is>
      </c>
      <c r="E12" s="3" t="inlineStr">
        <is>
          <t>Óptimo</t>
        </is>
      </c>
    </row>
    <row r="13" ht="22" customHeight="1">
      <c r="A13" s="10" t="inlineStr">
        <is>
          <t>Tasa de Ausentismo (No-show en citas)</t>
        </is>
      </c>
      <c r="B13" s="10" t="inlineStr">
        <is>
          <t>(Citas no asistidas / Citas programadas) × 100</t>
        </is>
      </c>
      <c r="C13" s="7" t="inlineStr">
        <is>
          <t>&lt; 10%</t>
        </is>
      </c>
      <c r="D13" s="7" t="inlineStr">
        <is>
          <t>6.5%</t>
        </is>
      </c>
      <c r="E13" s="7" t="inlineStr">
        <is>
          <t>Controlado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2026-10-21T16:55:46Z</dcterms:created>
  <dcterms:modified xsi:type="dcterms:W3CDTF">2026-10-21T16:55:46Z</dcterms:modified>
</cp:coreProperties>
</file>